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Tie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B3A67"/>
      <sz val="16"/>
    </font>
    <font>
      <name val="Segoe UI"/>
      <b val="1"/>
      <color rgb="00333333"/>
      <sz val="11"/>
    </font>
    <font>
      <name val="Segoe UI"/>
      <i val="1"/>
      <color rgb="00666666"/>
      <sz val="11"/>
    </font>
    <font>
      <name val="Segoe UI"/>
      <b val="1"/>
      <color rgb="001B3A67"/>
      <sz val="10"/>
    </font>
    <font>
      <name val="Segoe UI"/>
      <b val="1"/>
      <color rgb="00FFFFFF"/>
      <sz val="10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B3A67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double">
        <color rgb="001B3A67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3" fontId="6" fillId="3" borderId="1" applyAlignment="1" pivotButton="0" quotePrefix="0" xfId="0">
      <alignment horizontal="right" vertical="center"/>
    </xf>
    <xf numFmtId="0" fontId="4" fillId="0" borderId="2" pivotButton="0" quotePrefix="0" xfId="0"/>
    <xf numFmtId="3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kinh phí</a:t>
            </a:r>
          </a:p>
        </rich>
      </tx>
    </title>
    <plotArea>
      <pieChart>
        <varyColors val="1"/>
        <ser>
          <idx val="0"/>
          <order val="0"/>
          <tx>
            <strRef>
              <f>'Dashboard_TienDo'!G6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'Dashboard_TienDo'!$F$7:$F$10</f>
            </numRef>
          </cat>
          <val>
            <numRef>
              <f>'Dashboard_TienDo'!$G$7:$G$10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Tiến độ dự án (Gantt)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'Dashboard_TienDo'!B6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'Dashboard_TienDo'!$A$7:$A$13</f>
            </numRef>
          </cat>
          <val>
            <numRef>
              <f>'Dashboard_TienDo'!$B$7:$B$13</f>
            </numRef>
          </val>
        </ser>
        <ser>
          <idx val="1"/>
          <order val="1"/>
          <tx>
            <strRef>
              <f>'Dashboard_TienDo'!C6</f>
            </strRef>
          </tx>
          <spPr>
            <a:solidFill xmlns:a="http://schemas.openxmlformats.org/drawingml/2006/main">
              <a:srgbClr val="1B3A67"/>
            </a:solidFill>
            <a:ln xmlns:a="http://schemas.openxmlformats.org/drawingml/2006/main">
              <a:prstDash val="solid"/>
            </a:ln>
          </spPr>
          <cat>
            <numRef>
              <f>'Dashboard_TienDo'!$A$7:$A$13</f>
            </numRef>
          </cat>
          <val>
            <numRef>
              <f>'Dashboard_TienDo'!$C$7:$C$13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15</row>
      <rowOff>0</rowOff>
    </from>
    <ext cx="90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25" customWidth="1" min="6" max="6"/>
    <col width="15" customWidth="1" min="7" max="7"/>
  </cols>
  <sheetData>
    <row r="1">
      <c r="A1" s="1" t="inlineStr">
        <is>
          <t>DASHBOARD BÁO CÁO DỰ ÁN TỔNG HỢP</t>
        </is>
      </c>
    </row>
    <row r="2">
      <c r="A2" s="2" t="inlineStr">
        <is>
          <t>Dự án: Triển khai hệ thống ERP nội bộ - Giai đoạn 1</t>
        </is>
      </c>
    </row>
    <row r="3">
      <c r="A3" s="3" t="inlineStr">
        <is>
          <t>Báo cáo ngày: 21/04/2026 | Người phụ trách: Nguyễn Duy Tùng</t>
        </is>
      </c>
    </row>
    <row r="5">
      <c r="A5" s="4" t="inlineStr">
        <is>
          <t>BẢNG THEO DÕI TIẾN ĐỘ</t>
        </is>
      </c>
      <c r="F5" s="4" t="inlineStr">
        <is>
          <t>PHÂN BỔ KINH PHÍ (Triệu VNĐ)</t>
        </is>
      </c>
    </row>
    <row r="6">
      <c r="A6" s="5" t="inlineStr">
        <is>
          <t>Công việc</t>
        </is>
      </c>
      <c r="B6" s="5" t="inlineStr">
        <is>
          <t>Bắt đầu</t>
        </is>
      </c>
      <c r="C6" s="5" t="inlineStr">
        <is>
          <t>Kéo dài</t>
        </is>
      </c>
      <c r="D6" s="5" t="inlineStr">
        <is>
          <t>Kết thúc</t>
        </is>
      </c>
      <c r="F6" s="5" t="inlineStr">
        <is>
          <t>Hạng mục</t>
        </is>
      </c>
      <c r="G6" s="5" t="inlineStr">
        <is>
          <t>Kinh phí</t>
        </is>
      </c>
    </row>
    <row r="7">
      <c r="A7" s="6" t="inlineStr">
        <is>
          <t>1. Phân tích nghiệp vụ</t>
        </is>
      </c>
      <c r="B7" s="7" t="n">
        <v>0</v>
      </c>
      <c r="C7" s="7" t="n">
        <v>14</v>
      </c>
      <c r="D7" s="7">
        <f>B7+C7</f>
        <v/>
      </c>
      <c r="F7" s="6" t="inlineStr">
        <is>
          <t>Bản quyền phần mềm</t>
        </is>
      </c>
      <c r="G7" s="8" t="n">
        <v>1200</v>
      </c>
    </row>
    <row r="8">
      <c r="A8" s="6" t="inlineStr">
        <is>
          <t>2. Thiết kế Database</t>
        </is>
      </c>
      <c r="B8" s="7" t="n">
        <v>14</v>
      </c>
      <c r="C8" s="7" t="n">
        <v>21</v>
      </c>
      <c r="D8" s="7">
        <f>B8+C8</f>
        <v/>
      </c>
      <c r="F8" s="6" t="inlineStr">
        <is>
          <t>Server &amp; Hạ tầng</t>
        </is>
      </c>
      <c r="G8" s="8" t="n">
        <v>500</v>
      </c>
    </row>
    <row r="9">
      <c r="A9" s="6" t="inlineStr">
        <is>
          <t>3. Lập trình Backend</t>
        </is>
      </c>
      <c r="B9" s="7" t="n">
        <v>35</v>
      </c>
      <c r="C9" s="7" t="n">
        <v>45</v>
      </c>
      <c r="D9" s="7">
        <f>B9+C9</f>
        <v/>
      </c>
      <c r="F9" s="6" t="inlineStr">
        <is>
          <t>Đào tạo &amp; Chuyển giao</t>
        </is>
      </c>
      <c r="G9" s="8" t="n">
        <v>200</v>
      </c>
    </row>
    <row r="10">
      <c r="A10" s="6" t="inlineStr">
        <is>
          <t>4. Lập trình Frontend</t>
        </is>
      </c>
      <c r="B10" s="7" t="n">
        <v>40</v>
      </c>
      <c r="C10" s="7" t="n">
        <v>30</v>
      </c>
      <c r="D10" s="7">
        <f>B10+C10</f>
        <v/>
      </c>
      <c r="F10" s="6" t="inlineStr">
        <is>
          <t>Bảo trì dự phòng</t>
        </is>
      </c>
      <c r="G10" s="8" t="n">
        <v>150</v>
      </c>
    </row>
    <row r="11">
      <c r="A11" s="6" t="inlineStr">
        <is>
          <t>5. Kiểm thử UAT</t>
        </is>
      </c>
      <c r="B11" s="7" t="n">
        <v>80</v>
      </c>
      <c r="C11" s="7" t="n">
        <v>20</v>
      </c>
      <c r="D11" s="7">
        <f>B11+C11</f>
        <v/>
      </c>
      <c r="F11" s="9" t="inlineStr">
        <is>
          <t>Tổng cộng</t>
        </is>
      </c>
      <c r="G11" s="10">
        <f>SUM(G7:G10)</f>
        <v/>
      </c>
    </row>
    <row r="12">
      <c r="A12" s="6" t="inlineStr">
        <is>
          <t>6. Đào tạo nhân sự</t>
        </is>
      </c>
      <c r="B12" s="7" t="n">
        <v>100</v>
      </c>
      <c r="C12" s="7" t="n">
        <v>10</v>
      </c>
      <c r="D12" s="7">
        <f>B12+C12</f>
        <v/>
      </c>
    </row>
    <row r="13">
      <c r="A13" s="6" t="inlineStr">
        <is>
          <t>7. Go-live</t>
        </is>
      </c>
      <c r="B13" s="7" t="n">
        <v>110</v>
      </c>
      <c r="C13" s="7" t="n">
        <v>5</v>
      </c>
      <c r="D13" s="7">
        <f>B13+C13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2026-04-21T05:58:55Z</dcterms:created>
  <dcterms:modified xmlns:dcterms="http://purl.org/dc/terms/" xmlns:xsi="http://www.w3.org/2001/XMLSchema-instance" xsi:type="dcterms:W3CDTF">2026-04-21T05:58:55Z</dcterms:modified>
</cp:coreProperties>
</file>
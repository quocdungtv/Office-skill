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Khoi_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A67"/>
      <sz val="16"/>
    </font>
    <font>
      <name val="Segoe UI"/>
      <b val="1"/>
      <color rgb="00333333"/>
      <sz val="11"/>
    </font>
    <font>
      <name val="Segoe UI"/>
      <color rgb="00333333"/>
      <sz val="10"/>
    </font>
    <font>
      <name val="Segoe UI"/>
      <i val="1"/>
      <color rgb="00666666"/>
      <sz val="11"/>
    </font>
    <font>
      <name val="Segoe UI"/>
      <b val="1"/>
      <color rgb="00FFFFFF"/>
      <sz val="10"/>
    </font>
    <font>
      <name val="Segoe UI"/>
      <b val="1"/>
      <color rgb="001B3A67"/>
      <sz val="10"/>
    </font>
    <font>
      <name val="Segoe UI"/>
      <b val="1"/>
      <color rgb="00B22222"/>
      <sz val="11"/>
    </font>
  </fonts>
  <fills count="5">
    <fill>
      <patternFill/>
    </fill>
    <fill>
      <patternFill patternType="gray125"/>
    </fill>
    <fill>
      <patternFill patternType="solid">
        <fgColor rgb="001B3A67"/>
      </patternFill>
    </fill>
    <fill>
      <patternFill patternType="solid">
        <fgColor rgb="00E8F1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double">
        <color rgb="001B3A67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0" fillId="4" borderId="2" pivotButton="0" quotePrefix="0" xfId="0"/>
    <xf numFmtId="0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8" customWidth="1" min="4" max="4"/>
    <col width="14" customWidth="1" min="5" max="5"/>
    <col width="16" customWidth="1" min="6" max="6"/>
    <col width="20" customWidth="1" min="7" max="7"/>
  </cols>
  <sheetData>
    <row r="1">
      <c r="A1" s="1" t="inlineStr">
        <is>
          <t>BẢNG TỔNG HỢP KHỐI LƯỢNG XÂY DỰNG</t>
        </is>
      </c>
    </row>
    <row r="2">
      <c r="A2" s="2" t="inlineStr">
        <is>
          <t>Dự án: Trung tâm Hành chính huyện Bình Thạnh</t>
        </is>
      </c>
    </row>
    <row r="3">
      <c r="A3" s="3" t="inlineStr">
        <is>
          <t>Hạng mục: Tòa nhà Văn phòng 5 tầng</t>
        </is>
      </c>
    </row>
    <row r="4">
      <c r="A4" s="4" t="inlineStr">
        <is>
          <t>Ngày xuất: 21/04/2026 | Đơn vị tư vấn: Công ty CP Tư vấn Thiết kế XYZ</t>
        </is>
      </c>
    </row>
    <row r="6">
      <c r="A6" s="5" t="inlineStr">
        <is>
          <t>STT</t>
        </is>
      </c>
      <c r="B6" s="5" t="inlineStr">
        <is>
          <t>Mã ĐM</t>
        </is>
      </c>
      <c r="C6" s="5" t="inlineStr">
        <is>
          <t>Nội dung công việc</t>
        </is>
      </c>
      <c r="D6" s="5" t="inlineStr">
        <is>
          <t>ĐVT</t>
        </is>
      </c>
      <c r="E6" s="5" t="inlineStr">
        <is>
          <t>Khối lượng</t>
        </is>
      </c>
      <c r="F6" s="5" t="inlineStr">
        <is>
          <t>Đơn giá (VNĐ)</t>
        </is>
      </c>
      <c r="G6" s="5" t="inlineStr">
        <is>
          <t>Thành tiền (VNĐ)</t>
        </is>
      </c>
    </row>
    <row r="7">
      <c r="A7" s="6" t="inlineStr"/>
      <c r="B7" s="6" t="inlineStr"/>
      <c r="C7" s="7" t="inlineStr">
        <is>
          <t>I. PHẦN ĐẤT VÀ MÓNG</t>
        </is>
      </c>
      <c r="D7" s="6" t="inlineStr"/>
      <c r="E7" s="8" t="inlineStr"/>
      <c r="F7" s="8" t="inlineStr"/>
      <c r="G7" s="8" t="inlineStr"/>
    </row>
    <row r="8">
      <c r="A8" s="9" t="inlineStr">
        <is>
          <t>1</t>
        </is>
      </c>
      <c r="B8" s="9" t="inlineStr">
        <is>
          <t>AB.11443</t>
        </is>
      </c>
      <c r="C8" s="10" t="inlineStr">
        <is>
          <t>Đào móng cột rộng &gt;1m sâu &gt;1m đất cấp III</t>
        </is>
      </c>
      <c r="D8" s="9" t="inlineStr">
        <is>
          <t>m3</t>
        </is>
      </c>
      <c r="E8" s="11" t="n">
        <v>156.8</v>
      </c>
      <c r="F8" s="12" t="n">
        <v>245000</v>
      </c>
      <c r="G8" s="12">
        <f>E8*F8</f>
        <v/>
      </c>
    </row>
    <row r="9">
      <c r="A9" s="9" t="inlineStr">
        <is>
          <t>2</t>
        </is>
      </c>
      <c r="B9" s="9" t="inlineStr">
        <is>
          <t>AB.13111</t>
        </is>
      </c>
      <c r="C9" s="10" t="inlineStr">
        <is>
          <t>Đắp đất nền móng thủ công</t>
        </is>
      </c>
      <c r="D9" s="9" t="inlineStr">
        <is>
          <t>m3</t>
        </is>
      </c>
      <c r="E9" s="11" t="n">
        <v>112.4</v>
      </c>
      <c r="F9" s="12" t="n">
        <v>85000</v>
      </c>
      <c r="G9" s="12">
        <f>E9*F9</f>
        <v/>
      </c>
    </row>
    <row r="10">
      <c r="A10" s="9" t="inlineStr">
        <is>
          <t>3</t>
        </is>
      </c>
      <c r="B10" s="9" t="inlineStr">
        <is>
          <t>AF.15513</t>
        </is>
      </c>
      <c r="C10" s="10" t="inlineStr">
        <is>
          <t>Bê tông gạch vỡ vữa M75 lót móng</t>
        </is>
      </c>
      <c r="D10" s="9" t="inlineStr">
        <is>
          <t>m3</t>
        </is>
      </c>
      <c r="E10" s="11" t="n">
        <v>10.54</v>
      </c>
      <c r="F10" s="12" t="n">
        <v>680000</v>
      </c>
      <c r="G10" s="12">
        <f>E10*F10</f>
        <v/>
      </c>
    </row>
    <row r="11">
      <c r="A11" s="9" t="inlineStr">
        <is>
          <t>4</t>
        </is>
      </c>
      <c r="B11" s="9" t="inlineStr">
        <is>
          <t>AF.12121</t>
        </is>
      </c>
      <c r="C11" s="10" t="inlineStr">
        <is>
          <t>Bê tông mác 250 móng, đổ bằng máy bơm</t>
        </is>
      </c>
      <c r="D11" s="9" t="inlineStr">
        <is>
          <t>m3</t>
        </is>
      </c>
      <c r="E11" s="11" t="n">
        <v>48.6</v>
      </c>
      <c r="F11" s="12" t="n">
        <v>1250000</v>
      </c>
      <c r="G11" s="12">
        <f>E11*F11</f>
        <v/>
      </c>
    </row>
    <row r="12">
      <c r="A12" s="9" t="inlineStr">
        <is>
          <t>5</t>
        </is>
      </c>
      <c r="B12" s="9" t="inlineStr">
        <is>
          <t>AF.81111</t>
        </is>
      </c>
      <c r="C12" s="10" t="inlineStr">
        <is>
          <t>Ván khuôn móng</t>
        </is>
      </c>
      <c r="D12" s="9" t="inlineStr">
        <is>
          <t>m2</t>
        </is>
      </c>
      <c r="E12" s="11" t="n">
        <v>186.4</v>
      </c>
      <c r="F12" s="12" t="n">
        <v>125000</v>
      </c>
      <c r="G12" s="12">
        <f>E12*F12</f>
        <v/>
      </c>
    </row>
    <row r="13">
      <c r="A13" s="9" t="inlineStr">
        <is>
          <t>6</t>
        </is>
      </c>
      <c r="B13" s="9" t="inlineStr">
        <is>
          <t>AG.13112</t>
        </is>
      </c>
      <c r="C13" s="10" t="inlineStr">
        <is>
          <t>Cốt thép móng D&lt;=18mm</t>
        </is>
      </c>
      <c r="D13" s="9" t="inlineStr">
        <is>
          <t>tấn</t>
        </is>
      </c>
      <c r="E13" s="11" t="n">
        <v>2.85</v>
      </c>
      <c r="F13" s="12" t="n">
        <v>18500000</v>
      </c>
      <c r="G13" s="12">
        <f>E13*F13</f>
        <v/>
      </c>
    </row>
    <row r="14">
      <c r="A14" s="6" t="inlineStr"/>
      <c r="B14" s="6" t="inlineStr"/>
      <c r="C14" s="7" t="inlineStr">
        <is>
          <t>II. PHẦN THÂN</t>
        </is>
      </c>
      <c r="D14" s="6" t="inlineStr"/>
      <c r="E14" s="8" t="inlineStr"/>
      <c r="F14" s="8" t="inlineStr"/>
      <c r="G14" s="8" t="inlineStr"/>
    </row>
    <row r="15">
      <c r="A15" s="9" t="inlineStr">
        <is>
          <t>7</t>
        </is>
      </c>
      <c r="B15" s="9" t="inlineStr">
        <is>
          <t>AF.12221</t>
        </is>
      </c>
      <c r="C15" s="10" t="inlineStr">
        <is>
          <t>Bê tông cột mác 250</t>
        </is>
      </c>
      <c r="D15" s="9" t="inlineStr">
        <is>
          <t>m3</t>
        </is>
      </c>
      <c r="E15" s="11" t="n">
        <v>38.2</v>
      </c>
      <c r="F15" s="12" t="n">
        <v>1350000</v>
      </c>
      <c r="G15" s="12">
        <f>E15*F15</f>
        <v/>
      </c>
    </row>
    <row r="16">
      <c r="A16" s="9" t="inlineStr">
        <is>
          <t>8</t>
        </is>
      </c>
      <c r="B16" s="9" t="inlineStr">
        <is>
          <t>AF.12321</t>
        </is>
      </c>
      <c r="C16" s="10" t="inlineStr">
        <is>
          <t>Bê tông dầm, sàn mác 250</t>
        </is>
      </c>
      <c r="D16" s="9" t="inlineStr">
        <is>
          <t>m3</t>
        </is>
      </c>
      <c r="E16" s="11" t="n">
        <v>65.8</v>
      </c>
      <c r="F16" s="12" t="n">
        <v>1280000</v>
      </c>
      <c r="G16" s="12">
        <f>E16*F16</f>
        <v/>
      </c>
    </row>
    <row r="17">
      <c r="A17" s="9" t="inlineStr">
        <is>
          <t>9</t>
        </is>
      </c>
      <c r="B17" s="9" t="inlineStr">
        <is>
          <t>AF.81211</t>
        </is>
      </c>
      <c r="C17" s="10" t="inlineStr">
        <is>
          <t>Ván khuôn cột</t>
        </is>
      </c>
      <c r="D17" s="9" t="inlineStr">
        <is>
          <t>m2</t>
        </is>
      </c>
      <c r="E17" s="11" t="n">
        <v>245.6</v>
      </c>
      <c r="F17" s="12" t="n">
        <v>135000</v>
      </c>
      <c r="G17" s="12">
        <f>E17*F17</f>
        <v/>
      </c>
    </row>
    <row r="18">
      <c r="A18" s="9" t="inlineStr">
        <is>
          <t>10</t>
        </is>
      </c>
      <c r="B18" s="9" t="inlineStr">
        <is>
          <t>AF.81311</t>
        </is>
      </c>
      <c r="C18" s="10" t="inlineStr">
        <is>
          <t>Ván khuôn dầm</t>
        </is>
      </c>
      <c r="D18" s="9" t="inlineStr">
        <is>
          <t>m2</t>
        </is>
      </c>
      <c r="E18" s="11" t="n">
        <v>312.4</v>
      </c>
      <c r="F18" s="12" t="n">
        <v>128000</v>
      </c>
      <c r="G18" s="12">
        <f>E18*F18</f>
        <v/>
      </c>
    </row>
    <row r="19">
      <c r="A19" s="9" t="inlineStr">
        <is>
          <t>11</t>
        </is>
      </c>
      <c r="B19" s="9" t="inlineStr">
        <is>
          <t>AG.13112</t>
        </is>
      </c>
      <c r="C19" s="10" t="inlineStr">
        <is>
          <t>Cốt thép thân D&lt;=18mm</t>
        </is>
      </c>
      <c r="D19" s="9" t="inlineStr">
        <is>
          <t>tấn</t>
        </is>
      </c>
      <c r="E19" s="11" t="n">
        <v>8.449999999999999</v>
      </c>
      <c r="F19" s="12" t="n">
        <v>18500000</v>
      </c>
      <c r="G19" s="12">
        <f>E19*F19</f>
        <v/>
      </c>
    </row>
    <row r="20">
      <c r="A20" s="6" t="inlineStr"/>
      <c r="B20" s="6" t="inlineStr"/>
      <c r="C20" s="7" t="inlineStr">
        <is>
          <t>III. PHẦN HOÀN THIỆN</t>
        </is>
      </c>
      <c r="D20" s="6" t="inlineStr"/>
      <c r="E20" s="8" t="inlineStr"/>
      <c r="F20" s="8" t="inlineStr"/>
      <c r="G20" s="8" t="inlineStr"/>
    </row>
    <row r="21">
      <c r="A21" s="9" t="inlineStr">
        <is>
          <t>12</t>
        </is>
      </c>
      <c r="B21" s="9" t="inlineStr">
        <is>
          <t>AK.21114</t>
        </is>
      </c>
      <c r="C21" s="10" t="inlineStr">
        <is>
          <t>Xây tường gạch 200 vữa M75</t>
        </is>
      </c>
      <c r="D21" s="9" t="inlineStr">
        <is>
          <t>m3</t>
        </is>
      </c>
      <c r="E21" s="11" t="n">
        <v>125.6</v>
      </c>
      <c r="F21" s="12" t="n">
        <v>1450000</v>
      </c>
      <c r="G21" s="12">
        <f>E21*F21</f>
        <v/>
      </c>
    </row>
    <row r="22">
      <c r="A22" s="9" t="inlineStr">
        <is>
          <t>13</t>
        </is>
      </c>
      <c r="B22" s="9" t="inlineStr">
        <is>
          <t>AK.61122</t>
        </is>
      </c>
      <c r="C22" s="10" t="inlineStr">
        <is>
          <t>Trát tường trong vữa M75 dày 15</t>
        </is>
      </c>
      <c r="D22" s="9" t="inlineStr">
        <is>
          <t>m2</t>
        </is>
      </c>
      <c r="E22" s="11" t="n">
        <v>980.4</v>
      </c>
      <c r="F22" s="12" t="n">
        <v>68000</v>
      </c>
      <c r="G22" s="12">
        <f>E22*F22</f>
        <v/>
      </c>
    </row>
    <row r="23">
      <c r="A23" s="9" t="inlineStr">
        <is>
          <t>14</t>
        </is>
      </c>
      <c r="B23" s="9" t="inlineStr">
        <is>
          <t>AK.83111</t>
        </is>
      </c>
      <c r="C23" s="10" t="inlineStr">
        <is>
          <t>Sơn tường trong nhà 1 nước lót 2 nước phủ</t>
        </is>
      </c>
      <c r="D23" s="9" t="inlineStr">
        <is>
          <t>m2</t>
        </is>
      </c>
      <c r="E23" s="11" t="n">
        <v>980.4</v>
      </c>
      <c r="F23" s="12" t="n">
        <v>32000</v>
      </c>
      <c r="G23" s="12">
        <f>E23*F23</f>
        <v/>
      </c>
    </row>
    <row r="24">
      <c r="A24" s="9" t="inlineStr">
        <is>
          <t>15</t>
        </is>
      </c>
      <c r="B24" s="9" t="inlineStr">
        <is>
          <t>AK.71214</t>
        </is>
      </c>
      <c r="C24" s="10" t="inlineStr">
        <is>
          <t>Lát nền gạch ceramic 400x400</t>
        </is>
      </c>
      <c r="D24" s="9" t="inlineStr">
        <is>
          <t>m2</t>
        </is>
      </c>
      <c r="E24" s="11" t="n">
        <v>456.2</v>
      </c>
      <c r="F24" s="12" t="n">
        <v>185000</v>
      </c>
      <c r="G24" s="12">
        <f>E24*F24</f>
        <v/>
      </c>
    </row>
    <row r="25">
      <c r="A25" s="13" t="n"/>
      <c r="B25" s="13" t="n"/>
      <c r="C25" s="14" t="inlineStr">
        <is>
          <t>TỔNG CỘNG</t>
        </is>
      </c>
      <c r="D25" s="13" t="n"/>
      <c r="E25" s="13" t="n"/>
      <c r="F25" s="13" t="n"/>
      <c r="G25" s="15">
        <f>SUM(G7:G24)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2026-04-21T05:58:55Z</dcterms:created>
  <dcterms:modified xmlns:dcterms="http://purl.org/dc/terms/" xmlns:xsi="http://www.w3.org/2001/XMLSchema-instance" xsi:type="dcterms:W3CDTF">2026-04-21T05:58:55Z</dcterms:modified>
</cp:coreProperties>
</file>